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HDSAssignments\PMIM202\data\"/>
    </mc:Choice>
  </mc:AlternateContent>
  <xr:revisionPtr revIDLastSave="0" documentId="13_ncr:1_{8840034F-6EE2-4BEF-A868-F007BFC818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2" l="1"/>
  <c r="K34" i="2"/>
  <c r="J34" i="2"/>
  <c r="L27" i="2"/>
  <c r="J27" i="2"/>
</calcChain>
</file>

<file path=xl/sharedStrings.xml><?xml version="1.0" encoding="utf-8"?>
<sst xmlns="http://schemas.openxmlformats.org/spreadsheetml/2006/main" count="195" uniqueCount="39">
  <si>
    <t>Nationality</t>
  </si>
  <si>
    <t>Ethinicity</t>
  </si>
  <si>
    <t>Income</t>
  </si>
  <si>
    <t>British</t>
  </si>
  <si>
    <t>Welsh</t>
  </si>
  <si>
    <t>European</t>
  </si>
  <si>
    <t>British &amp; Other</t>
  </si>
  <si>
    <t>Indian</t>
  </si>
  <si>
    <t>Irish</t>
  </si>
  <si>
    <t>American</t>
  </si>
  <si>
    <t>New Zealand</t>
  </si>
  <si>
    <t>Greek</t>
  </si>
  <si>
    <t>Brazilian</t>
  </si>
  <si>
    <t>Filipino</t>
  </si>
  <si>
    <t>Mixed</t>
  </si>
  <si>
    <t>Asian</t>
  </si>
  <si>
    <t>Chinese</t>
  </si>
  <si>
    <t>Labels</t>
  </si>
  <si>
    <t xml:space="preserve">White </t>
  </si>
  <si>
    <t>Employed</t>
  </si>
  <si>
    <t>Yes</t>
  </si>
  <si>
    <t>No</t>
  </si>
  <si>
    <t>Education</t>
  </si>
  <si>
    <t>Others</t>
  </si>
  <si>
    <t>Intention</t>
  </si>
  <si>
    <t>BreastFeed</t>
  </si>
  <si>
    <t>--</t>
  </si>
  <si>
    <t>Higher Ed.</t>
  </si>
  <si>
    <t>Further Ed.</t>
  </si>
  <si>
    <t>Secondary Ed.</t>
  </si>
  <si>
    <t>Primary Ed.</t>
  </si>
  <si>
    <t>NEET</t>
  </si>
  <si>
    <t>&gt;=200K</t>
  </si>
  <si>
    <t>10 to &lt; 50K</t>
  </si>
  <si>
    <t>&lt; 10K</t>
  </si>
  <si>
    <t>50K to &lt; 100K</t>
  </si>
  <si>
    <t>100K to &lt; 200K</t>
  </si>
  <si>
    <t>NotBreastFeed</t>
  </si>
  <si>
    <t>Total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</si>
</sst>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0" fontId="1" fillId="0" borderId="1" xfId="0" quotePrefix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8:T37"/>
  <sheetViews>
    <sheetView tabSelected="1" topLeftCell="G1" zoomScale="115" zoomScaleNormal="115" workbookViewId="0">
      <selection activeCell="I10" sqref="I10"/>
    </sheetView>
  </sheetViews>
  <sheetFormatPr defaultRowHeight="15" x14ac:dyDescent="0.25"/>
  <cols>
    <col min="4" max="4" width="14.5703125" customWidth="1"/>
    <col min="5" max="5" width="15.42578125" customWidth="1"/>
    <col min="6" max="6" width="12.42578125" customWidth="1"/>
    <col min="7" max="7" width="14.28515625" bestFit="1" customWidth="1"/>
    <col min="8" max="8" width="14.7109375" customWidth="1"/>
    <col min="9" max="9" width="14.140625" customWidth="1"/>
    <col min="10" max="10" width="11.7109375" customWidth="1"/>
    <col min="11" max="11" width="14" customWidth="1"/>
    <col min="12" max="12" width="13.42578125" customWidth="1"/>
    <col min="13" max="13" width="16" customWidth="1"/>
    <col min="14" max="14" width="12.7109375" customWidth="1"/>
    <col min="15" max="15" width="11.7109375" customWidth="1"/>
    <col min="16" max="16" width="11.42578125" customWidth="1"/>
    <col min="17" max="17" width="13.28515625" customWidth="1"/>
    <col min="18" max="18" width="11" customWidth="1"/>
    <col min="19" max="19" width="11.5703125" customWidth="1"/>
  </cols>
  <sheetData>
    <row r="8" spans="9:20" ht="18.75" x14ac:dyDescent="0.25">
      <c r="I8" s="1" t="s">
        <v>17</v>
      </c>
      <c r="J8" s="9" t="s">
        <v>0</v>
      </c>
      <c r="K8" s="9"/>
      <c r="L8" s="9"/>
      <c r="M8" s="9"/>
      <c r="N8" s="9"/>
      <c r="O8" s="9"/>
      <c r="P8" s="9"/>
      <c r="Q8" s="9"/>
      <c r="R8" s="9"/>
      <c r="S8" s="9"/>
      <c r="T8" s="9"/>
    </row>
    <row r="9" spans="9:20" x14ac:dyDescent="0.25">
      <c r="I9" s="2"/>
      <c r="J9" s="2" t="s">
        <v>3</v>
      </c>
      <c r="K9" s="2" t="s">
        <v>4</v>
      </c>
      <c r="L9" s="2" t="s">
        <v>5</v>
      </c>
      <c r="M9" s="2" t="s">
        <v>6</v>
      </c>
      <c r="N9" s="2" t="s">
        <v>7</v>
      </c>
      <c r="O9" s="2" t="s">
        <v>8</v>
      </c>
      <c r="P9" s="2" t="s">
        <v>9</v>
      </c>
      <c r="Q9" s="2" t="s">
        <v>10</v>
      </c>
      <c r="R9" s="2" t="s">
        <v>11</v>
      </c>
      <c r="S9" s="2" t="s">
        <v>12</v>
      </c>
      <c r="T9" s="2" t="s">
        <v>13</v>
      </c>
    </row>
    <row r="10" spans="9:20" x14ac:dyDescent="0.25">
      <c r="I10" s="2" t="s">
        <v>38</v>
      </c>
      <c r="J10" s="3">
        <v>0.88800000000000001</v>
      </c>
      <c r="K10" s="3">
        <v>6.4500000000000002E-2</v>
      </c>
      <c r="L10" s="3">
        <v>2.2800000000000001E-2</v>
      </c>
      <c r="M10" s="3">
        <v>8.0999999999999996E-3</v>
      </c>
      <c r="N10" s="3">
        <v>2.7000000000000001E-3</v>
      </c>
      <c r="O10" s="3">
        <v>2.7000000000000001E-3</v>
      </c>
      <c r="P10" s="3">
        <v>1.2999999999999999E-3</v>
      </c>
      <c r="Q10" s="3">
        <v>1.2999999999999999E-3</v>
      </c>
      <c r="R10" s="3">
        <v>1.2999999999999999E-3</v>
      </c>
      <c r="S10" s="3">
        <v>1.2999999999999999E-3</v>
      </c>
      <c r="T10" s="3">
        <v>1.2999999999999999E-3</v>
      </c>
    </row>
    <row r="11" spans="9:20" ht="18.75" x14ac:dyDescent="0.25">
      <c r="I11" s="1" t="s"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9:20" x14ac:dyDescent="0.25">
      <c r="I12" s="2" t="s">
        <v>18</v>
      </c>
      <c r="J12" s="3">
        <v>0.85899999999999999</v>
      </c>
      <c r="K12" s="3">
        <v>6.4500000000000002E-2</v>
      </c>
      <c r="L12" s="3">
        <v>2.2800000000000001E-2</v>
      </c>
      <c r="M12" s="3">
        <v>8.0999999999999996E-3</v>
      </c>
      <c r="N12" s="5" t="s">
        <v>26</v>
      </c>
      <c r="O12" s="3">
        <v>2.7000000000000001E-3</v>
      </c>
      <c r="P12" s="3">
        <v>1.2999999999999999E-3</v>
      </c>
      <c r="Q12" s="3">
        <v>1.2999999999999999E-3</v>
      </c>
      <c r="R12" s="3">
        <v>1.2999999999999999E-3</v>
      </c>
      <c r="S12" s="3">
        <v>1.2999999999999999E-3</v>
      </c>
      <c r="T12" s="5" t="s">
        <v>26</v>
      </c>
    </row>
    <row r="13" spans="9:20" x14ac:dyDescent="0.25">
      <c r="I13" s="2" t="s">
        <v>14</v>
      </c>
      <c r="J13" s="3">
        <v>2.1499999999999998E-2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5" t="s">
        <v>26</v>
      </c>
      <c r="S13" s="5" t="s">
        <v>26</v>
      </c>
      <c r="T13" s="5" t="s">
        <v>26</v>
      </c>
    </row>
    <row r="14" spans="9:20" x14ac:dyDescent="0.25">
      <c r="I14" s="2" t="s">
        <v>15</v>
      </c>
      <c r="J14" s="3">
        <v>5.4000000000000003E-3</v>
      </c>
      <c r="K14" s="5" t="s">
        <v>26</v>
      </c>
      <c r="L14" s="5" t="s">
        <v>26</v>
      </c>
      <c r="M14" s="5" t="s">
        <v>26</v>
      </c>
      <c r="N14" s="3">
        <v>2.7000000000000001E-3</v>
      </c>
      <c r="O14" s="5" t="s">
        <v>26</v>
      </c>
      <c r="P14" s="5" t="s">
        <v>26</v>
      </c>
      <c r="Q14" s="5" t="s">
        <v>26</v>
      </c>
      <c r="R14" s="5" t="s">
        <v>26</v>
      </c>
      <c r="S14" s="5" t="s">
        <v>26</v>
      </c>
      <c r="T14" s="3">
        <v>1.2999999999999999E-3</v>
      </c>
    </row>
    <row r="15" spans="9:20" x14ac:dyDescent="0.25">
      <c r="I15" s="2" t="s">
        <v>16</v>
      </c>
      <c r="J15" s="3">
        <v>1.2999999999999999E-3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5" t="s">
        <v>26</v>
      </c>
      <c r="S15" s="5" t="s">
        <v>26</v>
      </c>
      <c r="T15" s="5" t="s">
        <v>26</v>
      </c>
    </row>
    <row r="16" spans="9:20" x14ac:dyDescent="0.25">
      <c r="I16" s="2" t="s">
        <v>23</v>
      </c>
      <c r="J16" s="3">
        <v>8.0000000000000004E-4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5" t="s">
        <v>26</v>
      </c>
      <c r="S16" s="5" t="s">
        <v>26</v>
      </c>
      <c r="T16" s="5" t="s">
        <v>26</v>
      </c>
    </row>
    <row r="17" spans="9:20" ht="18.75" x14ac:dyDescent="0.25">
      <c r="I17" s="1" t="s">
        <v>19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9:20" x14ac:dyDescent="0.25">
      <c r="I18" s="2" t="s">
        <v>20</v>
      </c>
      <c r="J18" s="3">
        <v>0.61699999999999999</v>
      </c>
      <c r="K18" s="3">
        <v>4.5699999999999998E-2</v>
      </c>
      <c r="L18" s="3">
        <v>1.4800000000000001E-2</v>
      </c>
      <c r="M18" s="3">
        <v>5.4000000000000003E-3</v>
      </c>
      <c r="N18" s="3">
        <v>2.7000000000000001E-3</v>
      </c>
      <c r="O18" s="5" t="s">
        <v>26</v>
      </c>
      <c r="P18" s="3">
        <v>1.2999999999999999E-3</v>
      </c>
      <c r="Q18" s="3">
        <v>1.2999999999999999E-3</v>
      </c>
      <c r="R18" s="3">
        <v>1.2999999999999999E-3</v>
      </c>
      <c r="S18" s="3">
        <v>1.2999999999999999E-3</v>
      </c>
      <c r="T18" s="3">
        <v>1.2999999999999999E-3</v>
      </c>
    </row>
    <row r="19" spans="9:20" x14ac:dyDescent="0.25">
      <c r="I19" s="2" t="s">
        <v>21</v>
      </c>
      <c r="J19" s="6">
        <v>0.27</v>
      </c>
      <c r="K19" s="3">
        <v>1.8800000000000001E-2</v>
      </c>
      <c r="L19" s="3">
        <v>8.0000000000000002E-3</v>
      </c>
      <c r="M19" s="3">
        <v>2.7000000000000001E-3</v>
      </c>
      <c r="N19" s="5" t="s">
        <v>26</v>
      </c>
      <c r="O19" s="3">
        <v>2.7000000000000001E-3</v>
      </c>
      <c r="P19" s="5" t="s">
        <v>26</v>
      </c>
      <c r="Q19" s="5" t="s">
        <v>26</v>
      </c>
      <c r="R19" s="5" t="s">
        <v>26</v>
      </c>
      <c r="S19" s="5" t="s">
        <v>26</v>
      </c>
      <c r="T19" s="5" t="s">
        <v>26</v>
      </c>
    </row>
    <row r="20" spans="9:20" x14ac:dyDescent="0.25">
      <c r="I20" s="2" t="s">
        <v>23</v>
      </c>
      <c r="J20" s="7">
        <v>1E-3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5" t="s">
        <v>26</v>
      </c>
      <c r="S20" s="5" t="s">
        <v>26</v>
      </c>
      <c r="T20" s="5" t="s">
        <v>26</v>
      </c>
    </row>
    <row r="21" spans="9:20" ht="18.75" x14ac:dyDescent="0.25">
      <c r="I21" s="1" t="s">
        <v>22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9:20" x14ac:dyDescent="0.25">
      <c r="I22" s="2" t="s">
        <v>27</v>
      </c>
      <c r="J22" s="3">
        <v>0.58899999999999997</v>
      </c>
      <c r="K22" s="3">
        <v>4.9700000000000001E-2</v>
      </c>
      <c r="L22" s="3">
        <v>1.7500000000000002E-2</v>
      </c>
      <c r="M22" s="3">
        <v>8.0999999999999996E-3</v>
      </c>
      <c r="N22" s="3">
        <v>2.7000000000000001E-3</v>
      </c>
      <c r="O22" s="3">
        <v>2.7000000000000001E-3</v>
      </c>
      <c r="P22" s="3">
        <v>1.2999999999999999E-3</v>
      </c>
      <c r="Q22" s="3">
        <v>1.2999999999999999E-3</v>
      </c>
      <c r="R22" s="3">
        <v>1.2999999999999999E-3</v>
      </c>
      <c r="S22" s="3">
        <v>1.2999999999999999E-3</v>
      </c>
      <c r="T22" s="3">
        <v>1.2999999999999999E-3</v>
      </c>
    </row>
    <row r="23" spans="9:20" x14ac:dyDescent="0.25">
      <c r="I23" s="2" t="s">
        <v>28</v>
      </c>
      <c r="J23" s="3">
        <v>7.6600000000000001E-2</v>
      </c>
      <c r="K23" s="3">
        <v>8.0999999999999996E-3</v>
      </c>
      <c r="L23" s="3">
        <v>1.2999999999999999E-3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5" t="s">
        <v>26</v>
      </c>
      <c r="S23" s="5" t="s">
        <v>26</v>
      </c>
      <c r="T23" s="5" t="s">
        <v>26</v>
      </c>
    </row>
    <row r="24" spans="9:20" x14ac:dyDescent="0.25">
      <c r="I24" s="2" t="s">
        <v>29</v>
      </c>
      <c r="J24" s="6">
        <v>0.21</v>
      </c>
      <c r="K24" s="3">
        <v>6.7000000000000002E-3</v>
      </c>
      <c r="L24" s="3">
        <v>2.7000000000000001E-3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5" t="s">
        <v>26</v>
      </c>
      <c r="S24" s="5" t="s">
        <v>26</v>
      </c>
      <c r="T24" s="5" t="s">
        <v>26</v>
      </c>
    </row>
    <row r="25" spans="9:20" x14ac:dyDescent="0.25">
      <c r="I25" s="2" t="s">
        <v>30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5" t="s">
        <v>26</v>
      </c>
      <c r="S25" s="5" t="s">
        <v>26</v>
      </c>
      <c r="T25" s="5" t="s">
        <v>26</v>
      </c>
    </row>
    <row r="26" spans="9:20" x14ac:dyDescent="0.25">
      <c r="I26" s="2" t="s">
        <v>31</v>
      </c>
      <c r="J26" s="3">
        <v>4.0000000000000001E-3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5" t="s">
        <v>26</v>
      </c>
      <c r="S26" s="5" t="s">
        <v>26</v>
      </c>
      <c r="T26" s="5" t="s">
        <v>26</v>
      </c>
    </row>
    <row r="27" spans="9:20" x14ac:dyDescent="0.25">
      <c r="I27" s="2" t="s">
        <v>23</v>
      </c>
      <c r="J27" s="3">
        <f>J10-SUM(J22:J26)</f>
        <v>8.4000000000000741E-3</v>
      </c>
      <c r="K27" s="5" t="s">
        <v>26</v>
      </c>
      <c r="L27" s="3">
        <f>L10-SUM(L22:L26)</f>
        <v>1.2999999999999991E-3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5" t="s">
        <v>26</v>
      </c>
      <c r="S27" s="5" t="s">
        <v>26</v>
      </c>
      <c r="T27" s="5" t="s">
        <v>26</v>
      </c>
    </row>
    <row r="28" spans="9:20" ht="18.75" x14ac:dyDescent="0.25">
      <c r="I28" s="1" t="s">
        <v>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9:20" x14ac:dyDescent="0.25">
      <c r="I29" s="2" t="s">
        <v>34</v>
      </c>
      <c r="J29" s="3">
        <v>5.2999999999999999E-2</v>
      </c>
      <c r="K29" s="3">
        <v>2.7000000000000001E-3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5" t="s">
        <v>26</v>
      </c>
      <c r="S29" s="5" t="s">
        <v>26</v>
      </c>
      <c r="T29" s="5" t="s">
        <v>26</v>
      </c>
    </row>
    <row r="30" spans="9:20" x14ac:dyDescent="0.25">
      <c r="I30" s="2" t="s">
        <v>33</v>
      </c>
      <c r="J30" s="3">
        <v>0.45729999999999998</v>
      </c>
      <c r="K30" s="3">
        <v>3.3599999999999998E-2</v>
      </c>
      <c r="L30" s="3">
        <v>1.61E-2</v>
      </c>
      <c r="M30" s="8">
        <v>5.3E-3</v>
      </c>
      <c r="N30" s="5" t="s">
        <v>26</v>
      </c>
      <c r="O30" s="5" t="s">
        <v>26</v>
      </c>
      <c r="P30" s="3">
        <v>1.2999999999999999E-3</v>
      </c>
      <c r="Q30" s="3">
        <v>1.2999999999999999E-3</v>
      </c>
      <c r="R30" s="3">
        <v>1.2999999999999999E-3</v>
      </c>
      <c r="S30" s="5" t="s">
        <v>26</v>
      </c>
      <c r="T30" s="5" t="s">
        <v>26</v>
      </c>
    </row>
    <row r="31" spans="9:20" x14ac:dyDescent="0.25">
      <c r="I31" s="2" t="s">
        <v>35</v>
      </c>
      <c r="J31" s="8">
        <v>0.32800000000000001</v>
      </c>
      <c r="K31" s="8">
        <v>2.2499999999999999E-2</v>
      </c>
      <c r="L31" s="3">
        <v>6.7000000000000002E-3</v>
      </c>
      <c r="M31" s="8">
        <v>2.7000000000000001E-3</v>
      </c>
      <c r="N31" s="3">
        <v>2.7000000000000001E-3</v>
      </c>
      <c r="O31" s="3">
        <v>2.7000000000000001E-3</v>
      </c>
      <c r="P31" s="5" t="s">
        <v>26</v>
      </c>
      <c r="Q31" s="5" t="s">
        <v>26</v>
      </c>
      <c r="R31" s="5" t="s">
        <v>26</v>
      </c>
      <c r="S31" s="3">
        <v>1.2999999999999999E-3</v>
      </c>
      <c r="T31" s="3">
        <v>1.2999999999999999E-3</v>
      </c>
    </row>
    <row r="32" spans="9:20" x14ac:dyDescent="0.25">
      <c r="I32" s="2" t="s">
        <v>36</v>
      </c>
      <c r="J32" s="3">
        <v>1.2999999999999999E-3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5" t="s">
        <v>26</v>
      </c>
      <c r="S32" s="5" t="s">
        <v>26</v>
      </c>
      <c r="T32" s="5" t="s">
        <v>26</v>
      </c>
    </row>
    <row r="33" spans="9:20" x14ac:dyDescent="0.25">
      <c r="I33" s="2" t="s">
        <v>32</v>
      </c>
      <c r="J33" s="3">
        <v>1.2999999999999999E-3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5" t="s">
        <v>26</v>
      </c>
      <c r="S33" s="5" t="s">
        <v>26</v>
      </c>
      <c r="T33" s="5" t="s">
        <v>26</v>
      </c>
    </row>
    <row r="34" spans="9:20" x14ac:dyDescent="0.25">
      <c r="I34" s="2" t="s">
        <v>23</v>
      </c>
      <c r="J34" s="3">
        <f>J10-SUM(J29:J33)</f>
        <v>4.7100000000000031E-2</v>
      </c>
      <c r="K34" s="3">
        <f t="shared" ref="K34" si="0">K10-SUM(K29:K33)</f>
        <v>5.7000000000000037E-3</v>
      </c>
      <c r="L34" s="5" t="s">
        <v>26</v>
      </c>
      <c r="M34" s="3">
        <f>M10-SUM(M30:M33)</f>
        <v>9.9999999999999395E-5</v>
      </c>
      <c r="N34" s="5" t="s">
        <v>26</v>
      </c>
      <c r="O34" s="5" t="s">
        <v>26</v>
      </c>
      <c r="P34" s="5" t="s">
        <v>26</v>
      </c>
      <c r="Q34" s="5" t="s">
        <v>26</v>
      </c>
      <c r="R34" s="5" t="s">
        <v>26</v>
      </c>
      <c r="S34" s="5" t="s">
        <v>26</v>
      </c>
      <c r="T34" s="5" t="s">
        <v>26</v>
      </c>
    </row>
    <row r="35" spans="9:20" ht="18.75" x14ac:dyDescent="0.25">
      <c r="I35" s="1" t="s">
        <v>24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9:20" x14ac:dyDescent="0.25">
      <c r="I36" s="2" t="s">
        <v>25</v>
      </c>
      <c r="J36" s="3">
        <v>0.432</v>
      </c>
      <c r="K36" s="3">
        <v>2.69E-2</v>
      </c>
      <c r="L36" s="3">
        <v>1.4800000000000001E-2</v>
      </c>
      <c r="M36" s="3">
        <v>5.4000000000000003E-3</v>
      </c>
      <c r="N36" s="3">
        <v>2.7000000000000001E-3</v>
      </c>
      <c r="O36" s="3">
        <v>2.7000000000000001E-3</v>
      </c>
      <c r="P36" s="3">
        <v>1.2999999999999999E-3</v>
      </c>
      <c r="Q36" s="5" t="s">
        <v>26</v>
      </c>
      <c r="R36" s="5" t="s">
        <v>26</v>
      </c>
      <c r="S36" s="3">
        <v>1.2999999999999999E-3</v>
      </c>
      <c r="T36" s="5" t="s">
        <v>26</v>
      </c>
    </row>
    <row r="37" spans="9:20" x14ac:dyDescent="0.25">
      <c r="I37" s="2" t="s">
        <v>37</v>
      </c>
      <c r="J37" s="3">
        <v>0.45600000000000002</v>
      </c>
      <c r="K37" s="3">
        <v>3.7600000000000001E-2</v>
      </c>
      <c r="L37" s="3">
        <v>8.0000000000000002E-3</v>
      </c>
      <c r="M37" s="3">
        <v>2.7000000000000001E-3</v>
      </c>
      <c r="N37" s="5" t="s">
        <v>26</v>
      </c>
      <c r="O37" s="5" t="s">
        <v>26</v>
      </c>
      <c r="P37" s="5" t="s">
        <v>26</v>
      </c>
      <c r="Q37" s="3">
        <v>1.2999999999999999E-3</v>
      </c>
      <c r="R37" s="3">
        <v>1.2999999999999999E-3</v>
      </c>
      <c r="S37" s="5" t="s">
        <v>26</v>
      </c>
      <c r="T37" s="3">
        <v>1.2999999999999999E-3</v>
      </c>
    </row>
  </sheetData>
  <mergeCells count="1">
    <mergeCell ref="J8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Akson Sam Varghese</dc:creator>
  <cp:lastModifiedBy>Akson Sam Varghese</cp:lastModifiedBy>
  <dcterms:created xsi:type="dcterms:W3CDTF">2024-01-21T18:05:29Z</dcterms:created>
  <dcterms:modified xsi:type="dcterms:W3CDTF">2024-02-04T20:49:45Z</dcterms:modified>
</cp:coreProperties>
</file>